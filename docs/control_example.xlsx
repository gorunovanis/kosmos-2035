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7_BASE" sheetId="1" state="visible" r:id="rId1"/>
    <sheet xmlns:r="http://schemas.openxmlformats.org/officeDocument/2006/relationships" name="2039_STRESS_prepared" sheetId="2" state="visible" r:id="rId2"/>
    <sheet xmlns:r="http://schemas.openxmlformats.org/officeDocument/2006/relationships" name="2039_STRESS_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Независимый контрольный пример</t>
        </is>
      </c>
      <c r="B1" t="inlineStr">
        <is>
          <t>план S1_new24, сценарий BASE, год 2037</t>
        </is>
      </c>
    </row>
    <row r="2">
      <c r="A2" t="inlineStr">
        <is>
          <t>Формулы в столбце C считаются Excel из входов столбца B; столбец D — числа ядра из выгрузки; E — разница.</t>
        </is>
      </c>
    </row>
    <row r="4">
      <c r="A4" s="1" t="inlineStr">
        <is>
          <t>Вход</t>
        </is>
      </c>
      <c r="B4" s="1" t="inlineStr">
        <is>
          <t>Значение</t>
        </is>
      </c>
      <c r="C4" s="1" t="inlineStr">
        <is>
          <t>Формула / расчёт</t>
        </is>
      </c>
      <c r="D4" s="1" t="inlineStr">
        <is>
          <t>Ядро</t>
        </is>
      </c>
      <c r="E4" s="1" t="inlineStr">
        <is>
          <t>Разница</t>
        </is>
      </c>
    </row>
    <row r="5">
      <c r="A5" t="inlineStr">
        <is>
          <t>Спрос total, т</t>
        </is>
      </c>
      <c r="B5" t="n">
        <v>190</v>
      </c>
    </row>
    <row r="6">
      <c r="A6" t="inlineStr">
        <is>
          <t>Спрос critical, т</t>
        </is>
      </c>
      <c r="B6" t="n">
        <v>135</v>
      </c>
    </row>
    <row r="7">
      <c r="A7" t="inlineStr">
        <is>
          <t>Запас на 1 января, т (из ядра, конец предыдущего года)</t>
        </is>
      </c>
      <c r="B7" t="n">
        <v>30.81899999999994</v>
      </c>
    </row>
    <row r="8">
      <c r="A8" t="inlineStr">
        <is>
          <t>Коэффициент потерь (ZBO 1,2 % / база 4,5 %)</t>
        </is>
      </c>
      <c r="B8" t="n">
        <v>0.012</v>
      </c>
    </row>
    <row r="9">
      <c r="A9" t="inlineStr">
        <is>
          <t>Дней в году</t>
        </is>
      </c>
      <c r="B9" t="n">
        <v>365</v>
      </c>
    </row>
    <row r="10">
      <c r="A10" t="inlineStr">
        <is>
          <t>Резервных дней</t>
        </is>
      </c>
      <c r="B10" t="n">
        <v>45</v>
      </c>
    </row>
    <row r="11">
      <c r="A11" t="inlineStr">
        <is>
          <t>Ставка дисконта</t>
        </is>
      </c>
      <c r="B11" t="n">
        <v>0.07000000000000001</v>
      </c>
    </row>
    <row r="12">
      <c r="A12" t="inlineStr">
        <is>
          <t>Год приведения</t>
        </is>
      </c>
      <c r="B12" t="n">
        <v>2035</v>
      </c>
    </row>
    <row r="13">
      <c r="A13" t="inlineStr">
        <is>
          <t>Ставка хранения, млн/т-год</t>
        </is>
      </c>
      <c r="B13" t="n">
        <v>0.72</v>
      </c>
    </row>
    <row r="14">
      <c r="A14" t="inlineStr">
        <is>
          <t>OPEX ZBO, млн/год</t>
        </is>
      </c>
      <c r="B14" t="n">
        <v>12</v>
      </c>
    </row>
    <row r="16">
      <c r="A16" s="1" t="inlineStr">
        <is>
          <t>Канал</t>
        </is>
      </c>
      <c r="B16" s="1" t="inlineStr">
        <is>
          <t>Заказано, т</t>
        </is>
      </c>
      <c r="C16" s="1" t="inlineStr">
        <is>
          <t>Цена, млн/т</t>
        </is>
      </c>
      <c r="D16" s="1" t="inlineStr">
        <is>
          <t>Резерв, т/год</t>
        </is>
      </c>
      <c r="E16" s="1" t="inlineStr">
        <is>
          <t>Доля периода</t>
        </is>
      </c>
      <c r="F16" s="1" t="inlineStr">
        <is>
          <t>TOP доля</t>
        </is>
      </c>
      <c r="G16" s="1" t="inlineStr">
        <is>
          <t>Тариф резерва</t>
        </is>
      </c>
      <c r="H16" s="1" t="inlineStr">
        <is>
          <t>Оплачиваемый объём = max(заказ, TOP×резерв×доля)</t>
        </is>
      </c>
      <c r="I16" s="1" t="inlineStr">
        <is>
          <t>Закупка = цена × оплачиваемый</t>
        </is>
      </c>
      <c r="J16" s="1" t="inlineStr">
        <is>
          <t>Резервирование = тариф × резерв × доля</t>
        </is>
      </c>
      <c r="K16" s="1" t="inlineStr">
        <is>
          <t>Ядро: закупка</t>
        </is>
      </c>
      <c r="L16" s="1" t="inlineStr">
        <is>
          <t>Ядро: резерв</t>
        </is>
      </c>
    </row>
    <row r="17">
      <c r="A17" t="inlineStr">
        <is>
          <t>Earth-Core</t>
        </is>
      </c>
      <c r="B17" t="n">
        <v>159.5435222672076</v>
      </c>
      <c r="C17" t="n">
        <v>6.2</v>
      </c>
      <c r="D17" t="n">
        <v>190</v>
      </c>
      <c r="E17" t="n">
        <v>1</v>
      </c>
      <c r="F17" t="n">
        <v>0.7</v>
      </c>
      <c r="G17" t="n">
        <v>0.45</v>
      </c>
      <c r="H17">
        <f>MAX(B17,F17*D17*E17)</f>
        <v/>
      </c>
      <c r="I17">
        <f>C17*H17</f>
        <v/>
      </c>
      <c r="J17">
        <f>G17*D17*E17</f>
        <v/>
      </c>
      <c r="K17" t="n">
        <v>989.169838056687</v>
      </c>
      <c r="L17" t="n">
        <v>85.5</v>
      </c>
    </row>
    <row r="18">
      <c r="A18" t="inlineStr">
        <is>
          <t>Earth-Flex</t>
        </is>
      </c>
      <c r="B18" t="n">
        <v>0</v>
      </c>
      <c r="C18" t="n">
        <v>8.9</v>
      </c>
      <c r="D18" t="n">
        <v>110</v>
      </c>
      <c r="E18" t="n">
        <v>1</v>
      </c>
      <c r="F18" t="n">
        <v>0</v>
      </c>
      <c r="G18" t="n">
        <v>0.15</v>
      </c>
      <c r="H18">
        <f>MAX(B18,F18*D18*E18)</f>
        <v/>
      </c>
      <c r="I18">
        <f>C18*H18</f>
        <v/>
      </c>
      <c r="J18">
        <f>G18*D18*E18</f>
        <v/>
      </c>
      <c r="K18" t="n">
        <v>0</v>
      </c>
      <c r="L18" t="n">
        <v>16.5</v>
      </c>
    </row>
    <row r="19">
      <c r="A19" t="inlineStr">
        <is>
          <t>Earth-New</t>
        </is>
      </c>
      <c r="B19" t="n">
        <v>32.76712328767112</v>
      </c>
      <c r="C19" t="n">
        <v>7.1</v>
      </c>
      <c r="D19" t="n">
        <v>130</v>
      </c>
      <c r="E19" t="n">
        <v>0.5041095890410959</v>
      </c>
      <c r="F19" t="n">
        <v>0.5</v>
      </c>
      <c r="G19" t="n">
        <v>0.3</v>
      </c>
      <c r="H19">
        <f>MAX(B19,F19*D19*E19)</f>
        <v/>
      </c>
      <c r="I19">
        <f>C19*H19</f>
        <v/>
      </c>
      <c r="J19">
        <f>G19*D19*E19</f>
        <v/>
      </c>
      <c r="K19" t="n">
        <v>232.6465753424658</v>
      </c>
      <c r="L19" t="n">
        <v>19.66027397260274</v>
      </c>
    </row>
    <row r="20">
      <c r="A20" t="inlineStr">
        <is>
          <t>Emergency</t>
        </is>
      </c>
      <c r="B20" t="n">
        <v>0</v>
      </c>
      <c r="C20" t="n">
        <v>13.8</v>
      </c>
      <c r="D20" t="n">
        <v>80</v>
      </c>
      <c r="E20" t="n">
        <v>1</v>
      </c>
      <c r="F20" t="n">
        <v>0</v>
      </c>
      <c r="G20" t="n">
        <v>0.35</v>
      </c>
      <c r="H20">
        <f>MAX(B20,F20*D20*E20)</f>
        <v/>
      </c>
      <c r="I20">
        <f>C20*H20</f>
        <v/>
      </c>
      <c r="J20">
        <f>G20*D20*E20</f>
        <v/>
      </c>
      <c r="K20" t="n">
        <v>0</v>
      </c>
      <c r="L20" t="n">
        <v>28</v>
      </c>
    </row>
    <row r="22">
      <c r="A22" s="1" t="inlineStr">
        <is>
          <t>Показатель</t>
        </is>
      </c>
      <c r="B22" t="inlineStr"/>
      <c r="C22" s="1" t="inlineStr">
        <is>
          <t>Формула</t>
        </is>
      </c>
      <c r="D22" s="1" t="inlineStr">
        <is>
          <t>Ядро</t>
        </is>
      </c>
      <c r="E22" s="1" t="inlineStr">
        <is>
          <t>Разница</t>
        </is>
      </c>
    </row>
    <row r="23">
      <c r="A23" t="inlineStr">
        <is>
          <t>Заказано всего, т</t>
        </is>
      </c>
      <c r="B23" t="inlineStr"/>
      <c r="C23">
        <f>SUM(B17:B20)</f>
        <v/>
      </c>
      <c r="D23" t="n">
        <v>192.3106455548779</v>
      </c>
      <c r="E23">
        <f>IF(ISNUMBER(C23),C23-D23,"")</f>
        <v/>
      </c>
    </row>
    <row r="24">
      <c r="A24" t="inlineStr">
        <is>
          <t>Доставлено, т (сценарные доли поставки учтены в ядре; для земных каналов = заказу)</t>
        </is>
      </c>
      <c r="B24" t="inlineStr"/>
      <c r="C24">
        <f>SUM(B17:B20)</f>
        <v/>
      </c>
      <c r="D24" t="n">
        <v>192.3106455548779</v>
      </c>
      <c r="E24">
        <f>IF(ISNUMBER(C24),C24-D24,"")</f>
        <v/>
      </c>
    </row>
    <row r="25">
      <c r="A25" t="inlineStr">
        <is>
          <t>Потери = доставлено × коэффициент, т</t>
        </is>
      </c>
      <c r="B25" t="inlineStr"/>
      <c r="C25">
        <f>C24*B8</f>
        <v/>
      </c>
      <c r="D25" t="n">
        <v>2.307727746658528</v>
      </c>
      <c r="E25">
        <f>IF(ISNUMBER(C25),C25-D25,"")</f>
        <v/>
      </c>
    </row>
    <row r="26">
      <c r="A26" t="inlineStr">
        <is>
          <t>Резерв 45 дн = спрос × дни / 365, т</t>
        </is>
      </c>
      <c r="B26" t="inlineStr"/>
      <c r="C26">
        <f>B5*B10/B9</f>
        <v/>
      </c>
      <c r="D26" t="n">
        <v>23.42465753424657</v>
      </c>
      <c r="E26">
        <f>IF(ISNUMBER(C26),C26-D26,"")</f>
        <v/>
      </c>
    </row>
    <row r="27">
      <c r="A27" t="inlineStr">
        <is>
          <t>Проверка резерва: запас на 1 января − резерв, т (≥ 0)</t>
        </is>
      </c>
      <c r="B27" t="inlineStr"/>
      <c r="C27">
        <f>B7-C26</f>
        <v/>
      </c>
      <c r="D27" t="n">
        <v>7.394342465753368</v>
      </c>
      <c r="E27">
        <f>IF(ISNUMBER(C27),C27-D27,"")</f>
        <v/>
      </c>
    </row>
    <row r="28">
      <c r="A28" t="inlineStr">
        <is>
          <t>Выдано = min(спрос, запас + доставлено − потери), т</t>
        </is>
      </c>
      <c r="B28" t="inlineStr"/>
      <c r="C28">
        <f>MIN(B5,B7+C24-C25)</f>
        <v/>
      </c>
      <c r="D28" t="n">
        <v>190.0000000000015</v>
      </c>
      <c r="E28">
        <f>IF(ISNUMBER(C28),C28-D28,"")</f>
        <v/>
      </c>
    </row>
    <row r="29">
      <c r="A29" t="inlineStr">
        <is>
          <t>Дефицит = спрос − выдано, т</t>
        </is>
      </c>
      <c r="B29" t="inlineStr"/>
      <c r="C29">
        <f>B5-C28</f>
        <v/>
      </c>
      <c r="D29" t="n">
        <v>0</v>
      </c>
      <c r="E29">
        <f>IF(ISNUMBER(C29),C29-D29,"")</f>
        <v/>
      </c>
    </row>
    <row r="30">
      <c r="A30" t="inlineStr">
        <is>
          <t>Запас на конец = начало + доставлено − потери − выдано, т</t>
        </is>
      </c>
      <c r="B30" t="inlineStr"/>
      <c r="C30">
        <f>B7+C24-C25-C28</f>
        <v/>
      </c>
      <c r="D30" t="n">
        <v>30.82191780821866</v>
      </c>
      <c r="E30">
        <f>IF(ISNUMBER(C30),C30-D30,"")</f>
        <v/>
      </c>
    </row>
    <row r="31">
      <c r="A31" t="inlineStr">
        <is>
          <t>SL общий = выдано / спрос</t>
        </is>
      </c>
      <c r="B31" t="inlineStr"/>
      <c r="C31">
        <f>C28/B5</f>
        <v/>
      </c>
      <c r="D31" t="n">
        <v>1.000000000000008</v>
      </c>
      <c r="E31">
        <f>IF(ISNUMBER(C31),C31-D31,"")</f>
        <v/>
      </c>
    </row>
    <row r="32">
      <c r="A32" t="inlineStr">
        <is>
          <t>Закупка всего, млн</t>
        </is>
      </c>
      <c r="B32" t="inlineStr"/>
      <c r="C32">
        <f>SUM(I17:I20)</f>
        <v/>
      </c>
      <c r="D32" t="n">
        <v>1221.816413399153</v>
      </c>
      <c r="E32">
        <f>IF(ISNUMBER(C32),C32-D32,"")</f>
        <v/>
      </c>
    </row>
    <row r="33">
      <c r="A33" t="inlineStr">
        <is>
          <t>Резервирование всего, млн</t>
        </is>
      </c>
      <c r="B33" t="inlineStr"/>
      <c r="C33">
        <f>SUM(J17:J20)</f>
        <v/>
      </c>
      <c r="D33" t="n">
        <v>149.6602739726027</v>
      </c>
      <c r="E33">
        <f>IF(ISNUMBER(C33),C33-D33,"")</f>
        <v/>
      </c>
    </row>
    <row r="34">
      <c r="A34" t="inlineStr">
        <is>
          <t>Хранение ≈ ставка × средний запас (ядро: по дням), млн</t>
        </is>
      </c>
      <c r="B34" t="inlineStr"/>
      <c r="C34">
        <f>B13*(B7+C30)/2</f>
        <v/>
      </c>
      <c r="D34" t="n">
        <v>16.59872100281451</v>
      </c>
      <c r="E34">
        <f>IF(ISNUMBER(C34),C34-D34,"")</f>
        <v/>
      </c>
    </row>
    <row r="35">
      <c r="A35" t="inlineStr">
        <is>
          <t>OPEX ZBO, млн</t>
        </is>
      </c>
      <c r="B35" t="inlineStr"/>
      <c r="C35">
        <f>B14</f>
        <v/>
      </c>
      <c r="D35" t="n">
        <v>12</v>
      </c>
      <c r="E35">
        <f>IF(ISNUMBER(C35),C35-D35,"")</f>
        <v/>
      </c>
    </row>
    <row r="36">
      <c r="A36" t="inlineStr">
        <is>
          <t>CAPEX года, млн (из плана)</t>
        </is>
      </c>
      <c r="B36" t="inlineStr"/>
      <c r="C36" t="n">
        <v>0</v>
      </c>
      <c r="D36" t="n">
        <v>0</v>
      </c>
      <c r="E36">
        <f>IF(ISNUMBER(C36),C36-D36,"")</f>
        <v/>
      </c>
    </row>
    <row r="37">
      <c r="A37" t="inlineStr">
        <is>
          <t>Расходы года (с хранением по ядру), млн</t>
        </is>
      </c>
      <c r="B37" t="inlineStr"/>
      <c r="C37">
        <f>C32+C33+D34+C35+C36</f>
        <v/>
      </c>
      <c r="D37" t="n">
        <v>1400.07540837457</v>
      </c>
      <c r="E37">
        <f>IF(ISNUMBER(C37),C37-D37,"")</f>
        <v/>
      </c>
    </row>
    <row r="38">
      <c r="A38" t="inlineStr">
        <is>
          <t>Коэффициент дисконта = 1/(1+r)^(год−t0)</t>
        </is>
      </c>
      <c r="B38" t="inlineStr"/>
      <c r="C38">
        <f>1/(1+B11)^(2037-B12)</f>
        <v/>
      </c>
      <c r="D38" t="n">
        <v>0.8734387282732116</v>
      </c>
      <c r="E38">
        <f>IF(ISNUMBER(C38),C38-D38,"")</f>
        <v/>
      </c>
    </row>
    <row r="39">
      <c r="A39" t="inlineStr">
        <is>
          <t>PV расходов, млн</t>
        </is>
      </c>
      <c r="B39" t="inlineStr"/>
      <c r="C39">
        <f>C37*C38</f>
        <v/>
      </c>
      <c r="D39" t="n">
        <v>1222.880084177282</v>
      </c>
      <c r="E39">
        <f>IF(ISNUMBER(C39),C39-D39,"")</f>
        <v/>
      </c>
    </row>
    <row r="40">
      <c r="A40" t="inlineStr">
        <is>
          <t>Стоимость тонны served, млн/т</t>
        </is>
      </c>
      <c r="B40" t="inlineStr"/>
      <c r="C40">
        <f>C37/C28</f>
        <v/>
      </c>
      <c r="D40" t="n">
        <v>7.368817938813467</v>
      </c>
      <c r="E40">
        <f>IF(ISNUMBER(C40),C40-D40,"")</f>
        <v/>
      </c>
    </row>
    <row r="42">
      <c r="A42" t="inlineStr">
        <is>
          <t>Примечание: хранение в ядре считается по средневзвешенному дневному запасу; в контрольном примере приведена оценка по полусумме начала и конца года, поэтому для расходов года используется значение ядра. Остальные строки должны совпадать с точностью округления.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Независимый контрольный пример</t>
        </is>
      </c>
      <c r="B1" t="inlineStr">
        <is>
          <t>план S1_new24_stress_prepared, сценарий MANDATORY_STRESS, год 2039</t>
        </is>
      </c>
    </row>
    <row r="2">
      <c r="A2" t="inlineStr">
        <is>
          <t>Формулы в столбце C считаются Excel из входов столбца B; столбец D — числа ядра из выгрузки; E — разница.</t>
        </is>
      </c>
    </row>
    <row r="4">
      <c r="A4" s="1" t="inlineStr">
        <is>
          <t>Вход</t>
        </is>
      </c>
      <c r="B4" s="1" t="inlineStr">
        <is>
          <t>Значение</t>
        </is>
      </c>
      <c r="C4" s="1" t="inlineStr">
        <is>
          <t>Формула / расчёт</t>
        </is>
      </c>
      <c r="D4" s="1" t="inlineStr">
        <is>
          <t>Ядро</t>
        </is>
      </c>
      <c r="E4" s="1" t="inlineStr">
        <is>
          <t>Разница</t>
        </is>
      </c>
    </row>
    <row r="5">
      <c r="A5" t="inlineStr">
        <is>
          <t>Спрос total, т</t>
        </is>
      </c>
      <c r="B5" t="n">
        <v>368</v>
      </c>
    </row>
    <row r="6">
      <c r="A6" t="inlineStr">
        <is>
          <t>Спрос critical, т</t>
        </is>
      </c>
      <c r="B6" t="n">
        <v>241.5</v>
      </c>
    </row>
    <row r="7">
      <c r="A7" t="inlineStr">
        <is>
          <t>Запас на 1 января, т (из ядра, конец предыдущего года)</t>
        </is>
      </c>
      <c r="B7" t="n">
        <v>45.36986301370092</v>
      </c>
    </row>
    <row r="8">
      <c r="A8" t="inlineStr">
        <is>
          <t>Коэффициент потерь (ZBO 1,2 % / база 4,5 %)</t>
        </is>
      </c>
      <c r="B8" t="n">
        <v>0.012</v>
      </c>
    </row>
    <row r="9">
      <c r="A9" t="inlineStr">
        <is>
          <t>Дней в году</t>
        </is>
      </c>
      <c r="B9" t="n">
        <v>365</v>
      </c>
    </row>
    <row r="10">
      <c r="A10" t="inlineStr">
        <is>
          <t>Резервных дней</t>
        </is>
      </c>
      <c r="B10" t="n">
        <v>45</v>
      </c>
    </row>
    <row r="11">
      <c r="A11" t="inlineStr">
        <is>
          <t>Ставка дисконта</t>
        </is>
      </c>
      <c r="B11" t="n">
        <v>0.07000000000000001</v>
      </c>
    </row>
    <row r="12">
      <c r="A12" t="inlineStr">
        <is>
          <t>Год приведения</t>
        </is>
      </c>
      <c r="B12" t="n">
        <v>2035</v>
      </c>
    </row>
    <row r="13">
      <c r="A13" t="inlineStr">
        <is>
          <t>Ставка хранения, млн/т-год</t>
        </is>
      </c>
      <c r="B13" t="n">
        <v>0.72</v>
      </c>
    </row>
    <row r="14">
      <c r="A14" t="inlineStr">
        <is>
          <t>OPEX ZBO, млн/год</t>
        </is>
      </c>
      <c r="B14" t="n">
        <v>12</v>
      </c>
    </row>
    <row r="16">
      <c r="A16" s="1" t="inlineStr">
        <is>
          <t>Канал</t>
        </is>
      </c>
      <c r="B16" s="1" t="inlineStr">
        <is>
          <t>Заказано, т</t>
        </is>
      </c>
      <c r="C16" s="1" t="inlineStr">
        <is>
          <t>Цена, млн/т</t>
        </is>
      </c>
      <c r="D16" s="1" t="inlineStr">
        <is>
          <t>Резерв, т/год</t>
        </is>
      </c>
      <c r="E16" s="1" t="inlineStr">
        <is>
          <t>Доля периода</t>
        </is>
      </c>
      <c r="F16" s="1" t="inlineStr">
        <is>
          <t>TOP доля</t>
        </is>
      </c>
      <c r="G16" s="1" t="inlineStr">
        <is>
          <t>Тариф резерва</t>
        </is>
      </c>
      <c r="H16" s="1" t="inlineStr">
        <is>
          <t>Оплачиваемый объём = max(заказ, TOP×резерв×доля)</t>
        </is>
      </c>
      <c r="I16" s="1" t="inlineStr">
        <is>
          <t>Закупка = цена × оплачиваемый</t>
        </is>
      </c>
      <c r="J16" s="1" t="inlineStr">
        <is>
          <t>Резервирование = тариф × резерв × доля</t>
        </is>
      </c>
      <c r="K16" s="1" t="inlineStr">
        <is>
          <t>Ядро: закупка</t>
        </is>
      </c>
      <c r="L16" s="1" t="inlineStr">
        <is>
          <t>Ядро: резерв</t>
        </is>
      </c>
    </row>
    <row r="17">
      <c r="A17" t="inlineStr">
        <is>
          <t>Earth-Core</t>
        </is>
      </c>
      <c r="B17" t="n">
        <v>190.0000000000015</v>
      </c>
      <c r="C17" t="n">
        <v>7.75</v>
      </c>
      <c r="D17" t="n">
        <v>190</v>
      </c>
      <c r="E17" t="n">
        <v>1</v>
      </c>
      <c r="F17" t="n">
        <v>0.7</v>
      </c>
      <c r="G17" t="n">
        <v>0.45</v>
      </c>
      <c r="H17">
        <f>MAX(B17,F17*D17*E17)</f>
        <v/>
      </c>
      <c r="I17">
        <f>C17*H17</f>
        <v/>
      </c>
      <c r="J17">
        <f>G17*D17*E17</f>
        <v/>
      </c>
      <c r="K17" t="n">
        <v>1472.500000000012</v>
      </c>
      <c r="L17" t="n">
        <v>85.5</v>
      </c>
    </row>
    <row r="18">
      <c r="A18" t="inlineStr">
        <is>
          <t>Earth-Flex</t>
        </is>
      </c>
      <c r="B18" t="n">
        <v>86.46220398203079</v>
      </c>
      <c r="C18" t="n">
        <v>11.125</v>
      </c>
      <c r="D18" t="n">
        <v>110</v>
      </c>
      <c r="E18" t="n">
        <v>1</v>
      </c>
      <c r="F18" t="n">
        <v>0</v>
      </c>
      <c r="G18" t="n">
        <v>0.15</v>
      </c>
      <c r="H18">
        <f>MAX(B18,F18*D18*E18)</f>
        <v/>
      </c>
      <c r="I18">
        <f>C18*H18</f>
        <v/>
      </c>
      <c r="J18">
        <f>G18*D18*E18</f>
        <v/>
      </c>
      <c r="K18" t="n">
        <v>961.8920193000924</v>
      </c>
      <c r="L18" t="n">
        <v>16.5</v>
      </c>
    </row>
    <row r="19">
      <c r="A19" t="inlineStr">
        <is>
          <t>Earth-New</t>
        </is>
      </c>
      <c r="B19" t="n">
        <v>130.0000000000004</v>
      </c>
      <c r="C19" t="n">
        <v>7.1</v>
      </c>
      <c r="D19" t="n">
        <v>130</v>
      </c>
      <c r="E19" t="n">
        <v>1</v>
      </c>
      <c r="F19" t="n">
        <v>0.5</v>
      </c>
      <c r="G19" t="n">
        <v>0.3</v>
      </c>
      <c r="H19">
        <f>MAX(B19,F19*D19*E19)</f>
        <v/>
      </c>
      <c r="I19">
        <f>C19*H19</f>
        <v/>
      </c>
      <c r="J19">
        <f>G19*D19*E19</f>
        <v/>
      </c>
      <c r="K19" t="n">
        <v>923.000000000003</v>
      </c>
      <c r="L19" t="n">
        <v>39</v>
      </c>
    </row>
    <row r="20">
      <c r="A20" t="inlineStr">
        <is>
          <t>Emergency</t>
        </is>
      </c>
      <c r="B20" t="n">
        <v>0</v>
      </c>
      <c r="C20" t="n">
        <v>13.8</v>
      </c>
      <c r="D20" t="n">
        <v>80</v>
      </c>
      <c r="E20" t="n">
        <v>1</v>
      </c>
      <c r="F20" t="n">
        <v>0</v>
      </c>
      <c r="G20" t="n">
        <v>0.35</v>
      </c>
      <c r="H20">
        <f>MAX(B20,F20*D20*E20)</f>
        <v/>
      </c>
      <c r="I20">
        <f>C20*H20</f>
        <v/>
      </c>
      <c r="J20">
        <f>G20*D20*E20</f>
        <v/>
      </c>
      <c r="K20" t="n">
        <v>0</v>
      </c>
      <c r="L20" t="n">
        <v>28</v>
      </c>
    </row>
    <row r="22">
      <c r="A22" s="1" t="inlineStr">
        <is>
          <t>Показатель</t>
        </is>
      </c>
      <c r="B22" t="inlineStr"/>
      <c r="C22" s="1" t="inlineStr">
        <is>
          <t>Формула</t>
        </is>
      </c>
      <c r="D22" s="1" t="inlineStr">
        <is>
          <t>Ядро</t>
        </is>
      </c>
      <c r="E22" s="1" t="inlineStr">
        <is>
          <t>Разница</t>
        </is>
      </c>
    </row>
    <row r="23">
      <c r="A23" t="inlineStr">
        <is>
          <t>Заказано всего, т</t>
        </is>
      </c>
      <c r="B23" t="inlineStr"/>
      <c r="C23">
        <f>SUM(B17:B20)</f>
        <v/>
      </c>
      <c r="D23" t="n">
        <v>406.4622039820276</v>
      </c>
      <c r="E23">
        <f>IF(ISNUMBER(C23),C23-D23,"")</f>
        <v/>
      </c>
    </row>
    <row r="24">
      <c r="A24" t="inlineStr">
        <is>
          <t>Доставлено, т (сценарные доли поставки учтены в ядре; для земных каналов = заказу)</t>
        </is>
      </c>
      <c r="B24" t="inlineStr"/>
      <c r="C24">
        <f>SUM(B17:B20)</f>
        <v/>
      </c>
      <c r="D24" t="n">
        <v>406.4622039820322</v>
      </c>
      <c r="E24">
        <f>IF(ISNUMBER(C24),C24-D24,"")</f>
        <v/>
      </c>
    </row>
    <row r="25">
      <c r="A25" t="inlineStr">
        <is>
          <t>Потери = доставлено × коэффициент, т</t>
        </is>
      </c>
      <c r="B25" t="inlineStr"/>
      <c r="C25">
        <f>C24*B8</f>
        <v/>
      </c>
      <c r="D25" t="n">
        <v>4.877546447784391</v>
      </c>
      <c r="E25">
        <f>IF(ISNUMBER(C25),C25-D25,"")</f>
        <v/>
      </c>
    </row>
    <row r="26">
      <c r="A26" t="inlineStr">
        <is>
          <t>Резерв 45 дн = спрос × дни / 365, т</t>
        </is>
      </c>
      <c r="B26" t="inlineStr"/>
      <c r="C26">
        <f>B5*B10/B9</f>
        <v/>
      </c>
      <c r="D26" t="n">
        <v>45.36986301369863</v>
      </c>
      <c r="E26">
        <f>IF(ISNUMBER(C26),C26-D26,"")</f>
        <v/>
      </c>
    </row>
    <row r="27">
      <c r="A27" t="inlineStr">
        <is>
          <t>Проверка резерва: запас на 1 января − резерв, т (≥ 0)</t>
        </is>
      </c>
      <c r="B27" t="inlineStr"/>
      <c r="C27">
        <f>B7-C26</f>
        <v/>
      </c>
      <c r="D27" t="n">
        <v>2.295053036505124e-12</v>
      </c>
      <c r="E27">
        <f>IF(ISNUMBER(C27),C27-D27,"")</f>
        <v/>
      </c>
    </row>
    <row r="28">
      <c r="A28" t="inlineStr">
        <is>
          <t>Выдано = min(спрос, запас + доставлено − потери), т</t>
        </is>
      </c>
      <c r="B28" t="inlineStr"/>
      <c r="C28">
        <f>MIN(B5,B7+C24-C25)</f>
        <v/>
      </c>
      <c r="D28" t="n">
        <v>367.9999999999983</v>
      </c>
      <c r="E28">
        <f>IF(ISNUMBER(C28),C28-D28,"")</f>
        <v/>
      </c>
    </row>
    <row r="29">
      <c r="A29" t="inlineStr">
        <is>
          <t>Дефицит = спрос − выдано, т</t>
        </is>
      </c>
      <c r="B29" t="inlineStr"/>
      <c r="C29">
        <f>B5-C28</f>
        <v/>
      </c>
      <c r="D29" t="n">
        <v>0</v>
      </c>
      <c r="E29">
        <f>IF(ISNUMBER(C29),C29-D29,"")</f>
        <v/>
      </c>
    </row>
    <row r="30">
      <c r="A30" t="inlineStr">
        <is>
          <t>Запас на конец = начало + доставлено − потери − выдано, т</t>
        </is>
      </c>
      <c r="B30" t="inlineStr"/>
      <c r="C30">
        <f>B7+C24-C25-C28</f>
        <v/>
      </c>
      <c r="D30" t="n">
        <v>78.9545205479471</v>
      </c>
      <c r="E30">
        <f>IF(ISNUMBER(C30),C30-D30,"")</f>
        <v/>
      </c>
    </row>
    <row r="31">
      <c r="A31" t="inlineStr">
        <is>
          <t>SL общий = выдано / спрос</t>
        </is>
      </c>
      <c r="B31" t="inlineStr"/>
      <c r="C31">
        <f>C28/B5</f>
        <v/>
      </c>
      <c r="D31" t="n">
        <v>0.9999999999999953</v>
      </c>
      <c r="E31">
        <f>IF(ISNUMBER(C31),C31-D31,"")</f>
        <v/>
      </c>
    </row>
    <row r="32">
      <c r="A32" t="inlineStr">
        <is>
          <t>Закупка всего, млн</t>
        </is>
      </c>
      <c r="B32" t="inlineStr"/>
      <c r="C32">
        <f>SUM(I17:I20)</f>
        <v/>
      </c>
      <c r="D32" t="n">
        <v>3357.392019300107</v>
      </c>
      <c r="E32">
        <f>IF(ISNUMBER(C32),C32-D32,"")</f>
        <v/>
      </c>
    </row>
    <row r="33">
      <c r="A33" t="inlineStr">
        <is>
          <t>Резервирование всего, млн</t>
        </is>
      </c>
      <c r="B33" t="inlineStr"/>
      <c r="C33">
        <f>SUM(J17:J20)</f>
        <v/>
      </c>
      <c r="D33" t="n">
        <v>169</v>
      </c>
      <c r="E33">
        <f>IF(ISNUMBER(C33),C33-D33,"")</f>
        <v/>
      </c>
    </row>
    <row r="34">
      <c r="A34" t="inlineStr">
        <is>
          <t>Хранение ≈ ставка × средний запас (ядро: по дням), млн</t>
        </is>
      </c>
      <c r="B34" t="inlineStr"/>
      <c r="C34">
        <f>B13*(B7+C30)/2</f>
        <v/>
      </c>
      <c r="D34" t="n">
        <v>45.15286158003552</v>
      </c>
      <c r="E34">
        <f>IF(ISNUMBER(C34),C34-D34,"")</f>
        <v/>
      </c>
    </row>
    <row r="35">
      <c r="A35" t="inlineStr">
        <is>
          <t>OPEX ZBO, млн</t>
        </is>
      </c>
      <c r="B35" t="inlineStr"/>
      <c r="C35">
        <f>B14</f>
        <v/>
      </c>
      <c r="D35" t="n">
        <v>12</v>
      </c>
      <c r="E35">
        <f>IF(ISNUMBER(C35),C35-D35,"")</f>
        <v/>
      </c>
    </row>
    <row r="36">
      <c r="A36" t="inlineStr">
        <is>
          <t>CAPEX года, млн (из плана)</t>
        </is>
      </c>
      <c r="B36" t="inlineStr"/>
      <c r="C36" t="n">
        <v>0</v>
      </c>
      <c r="D36" t="n">
        <v>0</v>
      </c>
      <c r="E36">
        <f>IF(ISNUMBER(C36),C36-D36,"")</f>
        <v/>
      </c>
    </row>
    <row r="37">
      <c r="A37" t="inlineStr">
        <is>
          <t>Расходы года (с хранением по ядру), млн</t>
        </is>
      </c>
      <c r="B37" t="inlineStr"/>
      <c r="C37">
        <f>C32+C33+D34+C35+C36</f>
        <v/>
      </c>
      <c r="D37" t="n">
        <v>3583.544880880143</v>
      </c>
      <c r="E37">
        <f>IF(ISNUMBER(C37),C37-D37,"")</f>
        <v/>
      </c>
    </row>
    <row r="38">
      <c r="A38" t="inlineStr">
        <is>
          <t>Коэффициент дисконта = 1/(1+r)^(год−t0)</t>
        </is>
      </c>
      <c r="B38" t="inlineStr"/>
      <c r="C38">
        <f>1/(1+B11)^(2039-B12)</f>
        <v/>
      </c>
      <c r="D38" t="n">
        <v>0.7628952120475251</v>
      </c>
      <c r="E38">
        <f>IF(ISNUMBER(C38),C38-D38,"")</f>
        <v/>
      </c>
    </row>
    <row r="39">
      <c r="A39" t="inlineStr">
        <is>
          <t>PV расходов, млн</t>
        </is>
      </c>
      <c r="B39" t="inlineStr"/>
      <c r="C39">
        <f>C37*C38</f>
        <v/>
      </c>
      <c r="D39" t="n">
        <v>2733.86923178088</v>
      </c>
      <c r="E39">
        <f>IF(ISNUMBER(C39),C39-D39,"")</f>
        <v/>
      </c>
    </row>
    <row r="40">
      <c r="A40" t="inlineStr">
        <is>
          <t>Стоимость тонны served, млн/т</t>
        </is>
      </c>
      <c r="B40" t="inlineStr"/>
      <c r="C40">
        <f>C37/C28</f>
        <v/>
      </c>
      <c r="D40" t="n">
        <v>9.73789369804391</v>
      </c>
      <c r="E40">
        <f>IF(ISNUMBER(C40),C40-D40,"")</f>
        <v/>
      </c>
    </row>
    <row r="42">
      <c r="A42" t="inlineStr">
        <is>
          <t>Примечание: хранение в ядре считается по средневзвешенному дневному запасу; в контрольном примере приведена оценка по полусумме начала и конца года, поэтому для расходов года используется значение ядра. Остальные строки должны совпадать с точностью округления.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Независимый контрольный пример</t>
        </is>
      </c>
      <c r="B1" t="inlineStr">
        <is>
          <t>план S1_new24, сценарий MANDATORY_STRESS, год 2039</t>
        </is>
      </c>
    </row>
    <row r="2">
      <c r="A2" t="inlineStr">
        <is>
          <t>Формулы в столбце C считаются Excel из входов столбца B; столбец D — числа ядра из выгрузки; E — разница.</t>
        </is>
      </c>
    </row>
    <row r="4">
      <c r="A4" s="1" t="inlineStr">
        <is>
          <t>Вход</t>
        </is>
      </c>
      <c r="B4" s="1" t="inlineStr">
        <is>
          <t>Значение</t>
        </is>
      </c>
      <c r="C4" s="1" t="inlineStr">
        <is>
          <t>Формула / расчёт</t>
        </is>
      </c>
      <c r="D4" s="1" t="inlineStr">
        <is>
          <t>Ядро</t>
        </is>
      </c>
      <c r="E4" s="1" t="inlineStr">
        <is>
          <t>Разница</t>
        </is>
      </c>
    </row>
    <row r="5">
      <c r="A5" t="inlineStr">
        <is>
          <t>Спрос total, т</t>
        </is>
      </c>
      <c r="B5" t="n">
        <v>368</v>
      </c>
    </row>
    <row r="6">
      <c r="A6" t="inlineStr">
        <is>
          <t>Спрос critical, т</t>
        </is>
      </c>
      <c r="B6" t="n">
        <v>241.5</v>
      </c>
    </row>
    <row r="7">
      <c r="A7" t="inlineStr">
        <is>
          <t>Запас на 1 января, т (из ядра, конец предыдущего года)</t>
        </is>
      </c>
      <c r="B7" t="n">
        <v>1.95205479452017</v>
      </c>
    </row>
    <row r="8">
      <c r="A8" t="inlineStr">
        <is>
          <t>Коэффициент потерь (ZBO 1,2 % / база 4,5 %)</t>
        </is>
      </c>
      <c r="B8" t="n">
        <v>0.012</v>
      </c>
    </row>
    <row r="9">
      <c r="A9" t="inlineStr">
        <is>
          <t>Дней в году</t>
        </is>
      </c>
      <c r="B9" t="n">
        <v>365</v>
      </c>
    </row>
    <row r="10">
      <c r="A10" t="inlineStr">
        <is>
          <t>Резервных дней</t>
        </is>
      </c>
      <c r="B10" t="n">
        <v>45</v>
      </c>
    </row>
    <row r="11">
      <c r="A11" t="inlineStr">
        <is>
          <t>Ставка дисконта</t>
        </is>
      </c>
      <c r="B11" t="n">
        <v>0.07000000000000001</v>
      </c>
    </row>
    <row r="12">
      <c r="A12" t="inlineStr">
        <is>
          <t>Год приведения</t>
        </is>
      </c>
      <c r="B12" t="n">
        <v>2035</v>
      </c>
    </row>
    <row r="13">
      <c r="A13" t="inlineStr">
        <is>
          <t>Ставка хранения, млн/т-год</t>
        </is>
      </c>
      <c r="B13" t="n">
        <v>0.72</v>
      </c>
    </row>
    <row r="14">
      <c r="A14" t="inlineStr">
        <is>
          <t>OPEX ZBO, млн/год</t>
        </is>
      </c>
      <c r="B14" t="n">
        <v>12</v>
      </c>
    </row>
    <row r="16">
      <c r="A16" s="1" t="inlineStr">
        <is>
          <t>Канал</t>
        </is>
      </c>
      <c r="B16" s="1" t="inlineStr">
        <is>
          <t>Заказано, т</t>
        </is>
      </c>
      <c r="C16" s="1" t="inlineStr">
        <is>
          <t>Цена, млн/т</t>
        </is>
      </c>
      <c r="D16" s="1" t="inlineStr">
        <is>
          <t>Резерв, т/год</t>
        </is>
      </c>
      <c r="E16" s="1" t="inlineStr">
        <is>
          <t>Доля периода</t>
        </is>
      </c>
      <c r="F16" s="1" t="inlineStr">
        <is>
          <t>TOP доля</t>
        </is>
      </c>
      <c r="G16" s="1" t="inlineStr">
        <is>
          <t>Тариф резерва</t>
        </is>
      </c>
      <c r="H16" s="1" t="inlineStr">
        <is>
          <t>Оплачиваемый объём = max(заказ, TOP×резерв×доля)</t>
        </is>
      </c>
      <c r="I16" s="1" t="inlineStr">
        <is>
          <t>Закупка = цена × оплачиваемый</t>
        </is>
      </c>
      <c r="J16" s="1" t="inlineStr">
        <is>
          <t>Резервирование = тариф × резерв × доля</t>
        </is>
      </c>
      <c r="K16" s="1" t="inlineStr">
        <is>
          <t>Ядро: закупка</t>
        </is>
      </c>
      <c r="L16" s="1" t="inlineStr">
        <is>
          <t>Ядро: резерв</t>
        </is>
      </c>
    </row>
    <row r="17">
      <c r="A17" t="inlineStr">
        <is>
          <t>Earth-Core</t>
        </is>
      </c>
      <c r="B17" t="n">
        <v>190.0000000000015</v>
      </c>
      <c r="C17" t="n">
        <v>7.75</v>
      </c>
      <c r="D17" t="n">
        <v>190</v>
      </c>
      <c r="E17" t="n">
        <v>1</v>
      </c>
      <c r="F17" t="n">
        <v>0.7</v>
      </c>
      <c r="G17" t="n">
        <v>0.45</v>
      </c>
      <c r="H17">
        <f>MAX(B17,F17*D17*E17)</f>
        <v/>
      </c>
      <c r="I17">
        <f>C17*H17</f>
        <v/>
      </c>
      <c r="J17">
        <f>G17*D17*E17</f>
        <v/>
      </c>
      <c r="K17" t="n">
        <v>1472.500000000012</v>
      </c>
      <c r="L17" t="n">
        <v>85.5</v>
      </c>
    </row>
    <row r="18">
      <c r="A18" t="inlineStr">
        <is>
          <t>Earth-Flex</t>
        </is>
      </c>
      <c r="B18" t="n">
        <v>12.62159613998106</v>
      </c>
      <c r="C18" t="n">
        <v>11.125</v>
      </c>
      <c r="D18" t="n">
        <v>110</v>
      </c>
      <c r="E18" t="n">
        <v>1</v>
      </c>
      <c r="F18" t="n">
        <v>0</v>
      </c>
      <c r="G18" t="n">
        <v>0.15</v>
      </c>
      <c r="H18">
        <f>MAX(B18,F18*D18*E18)</f>
        <v/>
      </c>
      <c r="I18">
        <f>C18*H18</f>
        <v/>
      </c>
      <c r="J18">
        <f>G18*D18*E18</f>
        <v/>
      </c>
      <c r="K18" t="n">
        <v>140.4152570572893</v>
      </c>
      <c r="L18" t="n">
        <v>16.5</v>
      </c>
    </row>
    <row r="19">
      <c r="A19" t="inlineStr">
        <is>
          <t>Earth-New</t>
        </is>
      </c>
      <c r="B19" t="n">
        <v>130.0000000000004</v>
      </c>
      <c r="C19" t="n">
        <v>7.1</v>
      </c>
      <c r="D19" t="n">
        <v>130</v>
      </c>
      <c r="E19" t="n">
        <v>1</v>
      </c>
      <c r="F19" t="n">
        <v>0.5</v>
      </c>
      <c r="G19" t="n">
        <v>0.3</v>
      </c>
      <c r="H19">
        <f>MAX(B19,F19*D19*E19)</f>
        <v/>
      </c>
      <c r="I19">
        <f>C19*H19</f>
        <v/>
      </c>
      <c r="J19">
        <f>G19*D19*E19</f>
        <v/>
      </c>
      <c r="K19" t="n">
        <v>923.000000000003</v>
      </c>
      <c r="L19" t="n">
        <v>39</v>
      </c>
    </row>
    <row r="20">
      <c r="A20" t="inlineStr">
        <is>
          <t>Emergency</t>
        </is>
      </c>
      <c r="B20" t="n">
        <v>0</v>
      </c>
      <c r="C20" t="n">
        <v>13.8</v>
      </c>
      <c r="D20" t="n">
        <v>80</v>
      </c>
      <c r="E20" t="n">
        <v>1</v>
      </c>
      <c r="F20" t="n">
        <v>0</v>
      </c>
      <c r="G20" t="n">
        <v>0.35</v>
      </c>
      <c r="H20">
        <f>MAX(B20,F20*D20*E20)</f>
        <v/>
      </c>
      <c r="I20">
        <f>C20*H20</f>
        <v/>
      </c>
      <c r="J20">
        <f>G20*D20*E20</f>
        <v/>
      </c>
      <c r="K20" t="n">
        <v>0</v>
      </c>
      <c r="L20" t="n">
        <v>28</v>
      </c>
    </row>
    <row r="22">
      <c r="A22" s="1" t="inlineStr">
        <is>
          <t>Показатель</t>
        </is>
      </c>
      <c r="B22" t="inlineStr"/>
      <c r="C22" s="1" t="inlineStr">
        <is>
          <t>Формула</t>
        </is>
      </c>
      <c r="D22" s="1" t="inlineStr">
        <is>
          <t>Ядро</t>
        </is>
      </c>
      <c r="E22" s="1" t="inlineStr">
        <is>
          <t>Разница</t>
        </is>
      </c>
    </row>
    <row r="23">
      <c r="A23" t="inlineStr">
        <is>
          <t>Заказано всего, т</t>
        </is>
      </c>
      <c r="B23" t="inlineStr"/>
      <c r="C23">
        <f>SUM(B17:B20)</f>
        <v/>
      </c>
      <c r="D23" t="n">
        <v>332.6215961399803</v>
      </c>
      <c r="E23">
        <f>IF(ISNUMBER(C23),C23-D23,"")</f>
        <v/>
      </c>
    </row>
    <row r="24">
      <c r="A24" t="inlineStr">
        <is>
          <t>Доставлено, т (сценарные доли поставки учтены в ядре; для земных каналов = заказу)</t>
        </is>
      </c>
      <c r="B24" t="inlineStr"/>
      <c r="C24">
        <f>SUM(B17:B20)</f>
        <v/>
      </c>
      <c r="D24" t="n">
        <v>332.6215961399803</v>
      </c>
      <c r="E24">
        <f>IF(ISNUMBER(C24),C24-D24,"")</f>
        <v/>
      </c>
    </row>
    <row r="25">
      <c r="A25" t="inlineStr">
        <is>
          <t>Потери = доставлено × коэффициент, т</t>
        </is>
      </c>
      <c r="B25" t="inlineStr"/>
      <c r="C25">
        <f>C24*B8</f>
        <v/>
      </c>
      <c r="D25" t="n">
        <v>3.991459153679787</v>
      </c>
      <c r="E25">
        <f>IF(ISNUMBER(C25),C25-D25,"")</f>
        <v/>
      </c>
    </row>
    <row r="26">
      <c r="A26" t="inlineStr">
        <is>
          <t>Резерв 45 дн = спрос × дни / 365, т</t>
        </is>
      </c>
      <c r="B26" t="inlineStr"/>
      <c r="C26">
        <f>B5*B10/B9</f>
        <v/>
      </c>
      <c r="D26" t="n">
        <v>45.36986301369863</v>
      </c>
      <c r="E26">
        <f>IF(ISNUMBER(C26),C26-D26,"")</f>
        <v/>
      </c>
    </row>
    <row r="27">
      <c r="A27" t="inlineStr">
        <is>
          <t>Проверка резерва: запас на 1 января − резерв, т (≥ 0)</t>
        </is>
      </c>
      <c r="B27" t="inlineStr"/>
      <c r="C27">
        <f>B7-C26</f>
        <v/>
      </c>
      <c r="D27" t="n">
        <v>-43.41780821917845</v>
      </c>
      <c r="E27">
        <f>IF(ISNUMBER(C27),C27-D27,"")</f>
        <v/>
      </c>
    </row>
    <row r="28">
      <c r="A28" t="inlineStr">
        <is>
          <t>Выдано = min(спрос, запас + доставлено − потери), т</t>
        </is>
      </c>
      <c r="B28" t="inlineStr"/>
      <c r="C28">
        <f>MIN(B5,B7+C24-C25)</f>
        <v/>
      </c>
      <c r="D28" t="n">
        <v>330.5821917808222</v>
      </c>
      <c r="E28">
        <f>IF(ISNUMBER(C28),C28-D28,"")</f>
        <v/>
      </c>
    </row>
    <row r="29">
      <c r="A29" t="inlineStr">
        <is>
          <t>Дефицит = спрос − выдано, т</t>
        </is>
      </c>
      <c r="B29" t="inlineStr"/>
      <c r="C29">
        <f>B5-C28</f>
        <v/>
      </c>
      <c r="D29" t="n">
        <v>37.41780821917849</v>
      </c>
      <c r="E29">
        <f>IF(ISNUMBER(C29),C29-D29,"")</f>
        <v/>
      </c>
    </row>
    <row r="30">
      <c r="A30" t="inlineStr">
        <is>
          <t>Запас на конец = начало + доставлено − потери − выдано, т</t>
        </is>
      </c>
      <c r="B30" t="inlineStr"/>
      <c r="C30">
        <f>B7+C24-C25-C28</f>
        <v/>
      </c>
      <c r="D30" t="n">
        <v>0</v>
      </c>
      <c r="E30">
        <f>IF(ISNUMBER(C30),C30-D30,"")</f>
        <v/>
      </c>
    </row>
    <row r="31">
      <c r="A31" t="inlineStr">
        <is>
          <t>SL общий = выдано / спрос</t>
        </is>
      </c>
      <c r="B31" t="inlineStr"/>
      <c r="C31">
        <f>C28/B5</f>
        <v/>
      </c>
      <c r="D31" t="n">
        <v>0.8983211733174516</v>
      </c>
      <c r="E31">
        <f>IF(ISNUMBER(C31),C31-D31,"")</f>
        <v/>
      </c>
    </row>
    <row r="32">
      <c r="A32" t="inlineStr">
        <is>
          <t>Закупка всего, млн</t>
        </is>
      </c>
      <c r="B32" t="inlineStr"/>
      <c r="C32">
        <f>SUM(I17:I20)</f>
        <v/>
      </c>
      <c r="D32" t="n">
        <v>2535.915257057304</v>
      </c>
      <c r="E32">
        <f>IF(ISNUMBER(C32),C32-D32,"")</f>
        <v/>
      </c>
    </row>
    <row r="33">
      <c r="A33" t="inlineStr">
        <is>
          <t>Резервирование всего, млн</t>
        </is>
      </c>
      <c r="B33" t="inlineStr"/>
      <c r="C33">
        <f>SUM(J17:J20)</f>
        <v/>
      </c>
      <c r="D33" t="n">
        <v>169</v>
      </c>
      <c r="E33">
        <f>IF(ISNUMBER(C33),C33-D33,"")</f>
        <v/>
      </c>
    </row>
    <row r="34">
      <c r="A34" t="inlineStr">
        <is>
          <t>Хранение ≈ ставка × средний запас (ядро: по дням), млн</t>
        </is>
      </c>
      <c r="B34" t="inlineStr"/>
      <c r="C34">
        <f>B13*(B7+C30)/2</f>
        <v/>
      </c>
      <c r="D34" t="n">
        <v>0.3589812907919062</v>
      </c>
      <c r="E34">
        <f>IF(ISNUMBER(C34),C34-D34,"")</f>
        <v/>
      </c>
    </row>
    <row r="35">
      <c r="A35" t="inlineStr">
        <is>
          <t>OPEX ZBO, млн</t>
        </is>
      </c>
      <c r="B35" t="inlineStr"/>
      <c r="C35">
        <f>B14</f>
        <v/>
      </c>
      <c r="D35" t="n">
        <v>12</v>
      </c>
      <c r="E35">
        <f>IF(ISNUMBER(C35),C35-D35,"")</f>
        <v/>
      </c>
    </row>
    <row r="36">
      <c r="A36" t="inlineStr">
        <is>
          <t>CAPEX года, млн (из плана)</t>
        </is>
      </c>
      <c r="B36" t="inlineStr"/>
      <c r="C36" t="n">
        <v>0</v>
      </c>
      <c r="D36" t="n">
        <v>0</v>
      </c>
      <c r="E36">
        <f>IF(ISNUMBER(C36),C36-D36,"")</f>
        <v/>
      </c>
    </row>
    <row r="37">
      <c r="A37" t="inlineStr">
        <is>
          <t>Расходы года (с хранением по ядру), млн</t>
        </is>
      </c>
      <c r="B37" t="inlineStr"/>
      <c r="C37">
        <f>C32+C33+D34+C35+C36</f>
        <v/>
      </c>
      <c r="D37" t="n">
        <v>2717.274238348096</v>
      </c>
      <c r="E37">
        <f>IF(ISNUMBER(C37),C37-D37,"")</f>
        <v/>
      </c>
    </row>
    <row r="38">
      <c r="A38" t="inlineStr">
        <is>
          <t>Коэффициент дисконта = 1/(1+r)^(год−t0)</t>
        </is>
      </c>
      <c r="B38" t="inlineStr"/>
      <c r="C38">
        <f>1/(1+B11)^(2039-B12)</f>
        <v/>
      </c>
      <c r="D38" t="n">
        <v>0.7628952120475251</v>
      </c>
      <c r="E38">
        <f>IF(ISNUMBER(C38),C38-D38,"")</f>
        <v/>
      </c>
    </row>
    <row r="39">
      <c r="A39" t="inlineStr">
        <is>
          <t>PV расходов, млн</t>
        </is>
      </c>
      <c r="B39" t="inlineStr"/>
      <c r="C39">
        <f>C37*C38</f>
        <v/>
      </c>
      <c r="D39" t="n">
        <v>2072.995506255848</v>
      </c>
      <c r="E39">
        <f>IF(ISNUMBER(C39),C39-D39,"")</f>
        <v/>
      </c>
    </row>
    <row r="40">
      <c r="A40" t="inlineStr">
        <is>
          <t>Стоимость тонны served, млн/т</t>
        </is>
      </c>
      <c r="B40" t="inlineStr"/>
      <c r="C40">
        <f>C37/C28</f>
        <v/>
      </c>
      <c r="D40" t="n">
        <v>8.219663085026866</v>
      </c>
      <c r="E40">
        <f>IF(ISNUMBER(C40),C40-D40,"")</f>
        <v/>
      </c>
    </row>
    <row r="42">
      <c r="A42" t="inlineStr">
        <is>
          <t>Примечание: хранение в ядре считается по средневзвешенному дневному запасу; в контрольном примере приведена оценка по полусумме начала и конца года, поэтому для расходов года используется значение ядра. Остальные строки должны совпадать с точностью округления.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2026-09-19T10:33:05Z</dcterms:created>
  <dcterms:modified xmlns:dcterms="http://purl.org/dc/terms/" xmlns:xsi="http://www.w3.org/2001/XMLSchema-instance" xsi:type="dcterms:W3CDTF">2026-09-19T10:33:05Z</dcterms:modified>
</cp:coreProperties>
</file>